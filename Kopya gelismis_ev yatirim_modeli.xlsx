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ehme\Desktop\"/>
    </mc:Choice>
  </mc:AlternateContent>
  <xr:revisionPtr revIDLastSave="0" documentId="8_{2EA1248A-093C-46DE-AAD8-94B6B52BA992}" xr6:coauthVersionLast="47" xr6:coauthVersionMax="47" xr10:uidLastSave="{00000000-0000-0000-0000-000000000000}"/>
  <bookViews>
    <workbookView xWindow="1770" yWindow="3390" windowWidth="18900" windowHeight="11770" xr2:uid="{00000000-000D-0000-FFFF-FFFF00000000}"/>
  </bookViews>
  <sheets>
    <sheet name="Yatırım Modeli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C39" i="1"/>
  <c r="C40" i="1"/>
  <c r="C41" i="1"/>
  <c r="C42" i="1"/>
  <c r="C43" i="1"/>
  <c r="C44" i="1"/>
  <c r="B18" i="1"/>
  <c r="B5" i="1"/>
  <c r="B9" i="1"/>
  <c r="B10" i="1"/>
  <c r="B13" i="1"/>
  <c r="B16" i="1"/>
  <c r="B3" i="1"/>
  <c r="B20" i="1"/>
  <c r="B15" i="1"/>
  <c r="D6" i="1"/>
  <c r="D7" i="1"/>
  <c r="B6" i="1"/>
  <c r="B11" i="1"/>
  <c r="B21" i="1"/>
  <c r="D4" i="1"/>
  <c r="D2" i="1"/>
  <c r="B22" i="1"/>
</calcChain>
</file>

<file path=xl/sharedStrings.xml><?xml version="1.0" encoding="utf-8"?>
<sst xmlns="http://schemas.openxmlformats.org/spreadsheetml/2006/main" count="37" uniqueCount="37">
  <si>
    <t>Ev Teklif Fiyatı</t>
  </si>
  <si>
    <t>Alım Masraf Oranı</t>
  </si>
  <si>
    <t>Toplam Alım Masrafı</t>
  </si>
  <si>
    <t>Kredi Oranı</t>
  </si>
  <si>
    <t>Kredi Tutarı</t>
  </si>
  <si>
    <t>Peşinat</t>
  </si>
  <si>
    <t>Aylık Faiz</t>
  </si>
  <si>
    <t>Vade</t>
  </si>
  <si>
    <t>Aylık Taksit</t>
  </si>
  <si>
    <t>Toplam Geri Ödeme</t>
  </si>
  <si>
    <t>Toplam Maliyet</t>
  </si>
  <si>
    <t>Aylık Kira</t>
  </si>
  <si>
    <t>Yıllık Kira</t>
  </si>
  <si>
    <t>Kira İstisnası</t>
  </si>
  <si>
    <t>Vergilendirilen Kira</t>
  </si>
  <si>
    <t>Net Yıllık Kira</t>
  </si>
  <si>
    <t>Enflasyon</t>
  </si>
  <si>
    <t>5Y Sonrası Değer</t>
  </si>
  <si>
    <t>Hedef Amortisman</t>
  </si>
  <si>
    <t>Adil Fiyat</t>
  </si>
  <si>
    <t>Değerlendirme</t>
  </si>
  <si>
    <t>5Y Net Getiri</t>
  </si>
  <si>
    <t>EVİN HERSEY DAHİL NORMAL KREDİLİ FİYATI</t>
  </si>
  <si>
    <t>EVİN KREDİSİZ MASRAFLARI İLE BİRLİKTE FİYATI</t>
  </si>
  <si>
    <t>EVİN TAKSİTLERİNİ ÖDERKEN TAKSİTLERE KİRA DESTEĞİ</t>
  </si>
  <si>
    <t>seçim var</t>
  </si>
  <si>
    <t xml:space="preserve">A (Yıl) </t>
  </si>
  <si>
    <t xml:space="preserve">B (Tahmini Artış %) </t>
  </si>
  <si>
    <t>C (Evin Değeri)</t>
  </si>
  <si>
    <t xml:space="preserve">Yıl </t>
  </si>
  <si>
    <t xml:space="preserve">Tahmini Artış Oranı </t>
  </si>
  <si>
    <t>Konut Değeri (TL)</t>
  </si>
  <si>
    <t>Sıkı para politikası</t>
  </si>
  <si>
    <t>Faiz indirimi patlaması</t>
  </si>
  <si>
    <t>Durulma</t>
  </si>
  <si>
    <t>Yıllık Net Ortalama Enflasyon Tahmini</t>
  </si>
  <si>
    <t>Konut enflasyon tahminini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</si>
</sst>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₺-41F]#,##0.00"/>
    <numFmt numFmtId="165" formatCode="[$₺-41F]#,##0"/>
  </numFmts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FFF9C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164" fontId="0" fillId="2" borderId="0" xfId="0" applyNumberFormat="1" applyFill="1"/>
    <xf numFmtId="10" fontId="0" fillId="2" borderId="0" xfId="0" applyNumberFormat="1" applyFill="1"/>
    <xf numFmtId="164" fontId="0" fillId="0" borderId="0" xfId="0" applyNumberFormat="1"/>
    <xf numFmtId="0" fontId="0" fillId="3" borderId="0" xfId="0" applyFill="1"/>
    <xf numFmtId="164" fontId="0" fillId="0" borderId="0" xfId="0" applyNumberFormat="1" applyAlignment="1">
      <alignment horizontal="center" vertical="center"/>
    </xf>
    <xf numFmtId="0" fontId="0" fillId="4" borderId="0" xfId="0" applyFill="1"/>
    <xf numFmtId="0" fontId="0" fillId="5" borderId="0" xfId="0" applyFill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9" fontId="0" fillId="4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>
      <selection activeCell="B1" sqref="B1"/>
    </sheetView>
  </sheetViews>
  <sheetFormatPr defaultRowHeight="14.5" x14ac:dyDescent="0.35"/>
  <cols>
    <col min="1" max="1" width="18.54296875" bestFit="1" customWidth="1"/>
    <col min="2" max="2" width="17.36328125" bestFit="1" customWidth="1"/>
    <col min="3" max="3" width="14" bestFit="1" customWidth="1"/>
    <col min="4" max="4" width="48.26953125" bestFit="1" customWidth="1"/>
  </cols>
  <sheetData>
    <row r="1" spans="1:4" x14ac:dyDescent="0.35">
      <c r="A1" t="s">
        <v>0</v>
      </c>
      <c r="B1" s="2">
        <v>3300000</v>
      </c>
      <c r="D1" s="5" t="s">
        <v>22</v>
      </c>
    </row>
    <row r="2" spans="1:4" x14ac:dyDescent="0.35">
      <c r="A2" t="s">
        <v>1</v>
      </c>
      <c r="B2" s="3">
        <v>7.0000000000000007E-2</v>
      </c>
      <c r="D2" s="6">
        <f>B11</f>
        <v>5076692.905504154</v>
      </c>
    </row>
    <row r="3" spans="1:4" x14ac:dyDescent="0.35">
      <c r="A3" t="s">
        <v>2</v>
      </c>
      <c r="B3" s="4">
        <f>B1*B2</f>
        <v>231000.00000000003</v>
      </c>
      <c r="D3" s="7" t="s">
        <v>23</v>
      </c>
    </row>
    <row r="4" spans="1:4" x14ac:dyDescent="0.35">
      <c r="A4" t="s">
        <v>3</v>
      </c>
      <c r="B4" s="3">
        <v>0.5</v>
      </c>
      <c r="D4" s="6">
        <f>B1+B3</f>
        <v>3531000</v>
      </c>
    </row>
    <row r="5" spans="1:4" x14ac:dyDescent="0.35">
      <c r="A5" t="s">
        <v>4</v>
      </c>
      <c r="B5" s="4">
        <f>B1*B4</f>
        <v>1650000</v>
      </c>
      <c r="D5" s="8" t="s">
        <v>24</v>
      </c>
    </row>
    <row r="6" spans="1:4" x14ac:dyDescent="0.35">
      <c r="A6" t="s">
        <v>5</v>
      </c>
      <c r="B6" s="4">
        <f>B1-B5</f>
        <v>1650000</v>
      </c>
      <c r="D6" s="6">
        <f>B9</f>
        <v>53261.548425069232</v>
      </c>
    </row>
    <row r="7" spans="1:4" x14ac:dyDescent="0.35">
      <c r="A7" t="s">
        <v>6</v>
      </c>
      <c r="B7" s="3">
        <v>2.4899999999999999E-2</v>
      </c>
      <c r="C7">
        <v>1</v>
      </c>
      <c r="D7" s="9">
        <f>B9-B12-1000</f>
        <v>27261.548425069232</v>
      </c>
    </row>
    <row r="8" spans="1:4" x14ac:dyDescent="0.35">
      <c r="A8" t="s">
        <v>7</v>
      </c>
      <c r="B8" s="1">
        <v>60</v>
      </c>
      <c r="C8">
        <v>2</v>
      </c>
      <c r="D8" s="10"/>
    </row>
    <row r="9" spans="1:4" x14ac:dyDescent="0.35">
      <c r="A9" t="s">
        <v>8</v>
      </c>
      <c r="B9" s="4">
        <f>ABS(PMT(B7,B8,B5))</f>
        <v>53261.548425069232</v>
      </c>
      <c r="C9">
        <v>3</v>
      </c>
      <c r="D9" s="10"/>
    </row>
    <row r="10" spans="1:4" x14ac:dyDescent="0.35">
      <c r="A10" t="s">
        <v>9</v>
      </c>
      <c r="B10" s="4">
        <f>B9*B8</f>
        <v>3195692.905504154</v>
      </c>
      <c r="C10">
        <v>4</v>
      </c>
      <c r="D10" s="10"/>
    </row>
    <row r="11" spans="1:4" x14ac:dyDescent="0.35">
      <c r="A11" t="s">
        <v>10</v>
      </c>
      <c r="B11" s="4">
        <f>B10+B6+B3</f>
        <v>5076692.905504154</v>
      </c>
      <c r="C11">
        <v>5</v>
      </c>
      <c r="D11" s="10"/>
    </row>
    <row r="12" spans="1:4" x14ac:dyDescent="0.35">
      <c r="A12" t="s">
        <v>11</v>
      </c>
      <c r="B12" s="2">
        <v>25000</v>
      </c>
      <c r="C12">
        <v>6</v>
      </c>
      <c r="D12" s="10"/>
    </row>
    <row r="13" spans="1:4" x14ac:dyDescent="0.35">
      <c r="A13" t="s">
        <v>12</v>
      </c>
      <c r="B13" s="4">
        <f>B12*12</f>
        <v>300000</v>
      </c>
      <c r="C13">
        <v>7</v>
      </c>
      <c r="D13" s="10"/>
    </row>
    <row r="14" spans="1:4" x14ac:dyDescent="0.35">
      <c r="A14" t="s">
        <v>13</v>
      </c>
      <c r="B14" s="2">
        <v>58000</v>
      </c>
      <c r="C14">
        <v>8</v>
      </c>
      <c r="D14" s="10"/>
    </row>
    <row r="15" spans="1:4" x14ac:dyDescent="0.35">
      <c r="A15" t="s">
        <v>14</v>
      </c>
      <c r="B15" s="4">
        <f>MAX(B13-B14,0)</f>
        <v>242000</v>
      </c>
      <c r="C15">
        <v>9</v>
      </c>
      <c r="D15" s="10"/>
    </row>
    <row r="16" spans="1:4" x14ac:dyDescent="0.35">
      <c r="A16" t="s">
        <v>15</v>
      </c>
      <c r="B16" s="4">
        <f>B13*0.8</f>
        <v>240000</v>
      </c>
      <c r="C16">
        <v>10</v>
      </c>
      <c r="D16" s="10"/>
    </row>
    <row r="17" spans="1:4" x14ac:dyDescent="0.35">
      <c r="A17" t="s">
        <v>16</v>
      </c>
      <c r="B17" s="3">
        <v>0.36</v>
      </c>
      <c r="D17" s="10"/>
    </row>
    <row r="18" spans="1:4" x14ac:dyDescent="0.35">
      <c r="A18" t="s">
        <v>17</v>
      </c>
      <c r="B18" s="4">
        <f>B1*(1+B17)^5</f>
        <v>15353538.478079995</v>
      </c>
      <c r="D18" s="10"/>
    </row>
    <row r="19" spans="1:4" x14ac:dyDescent="0.35">
      <c r="A19" t="s">
        <v>18</v>
      </c>
      <c r="B19" s="1">
        <v>25</v>
      </c>
      <c r="D19" s="10"/>
    </row>
    <row r="20" spans="1:4" x14ac:dyDescent="0.35">
      <c r="A20" t="s">
        <v>19</v>
      </c>
      <c r="B20" s="4">
        <f>B16*B19-B3-(B10-B5)</f>
        <v>4223307.094495846</v>
      </c>
      <c r="D20" s="10"/>
    </row>
    <row r="21" spans="1:4" x14ac:dyDescent="0.35">
      <c r="A21" t="s">
        <v>20</v>
      </c>
      <c r="B21" t="str">
        <f>IF(B20&gt;B1,"Pahalı","Makul")</f>
        <v>Pahalı</v>
      </c>
      <c r="D21" s="10"/>
    </row>
    <row r="22" spans="1:4" x14ac:dyDescent="0.35">
      <c r="A22" t="s">
        <v>21</v>
      </c>
      <c r="B22" s="4">
        <f>B18-B11+(B16*5)</f>
        <v>11476845.572575841</v>
      </c>
      <c r="D22" s="10"/>
    </row>
    <row r="28" spans="1:4" x14ac:dyDescent="0.35">
      <c r="A28" s="19" t="s">
        <v>35</v>
      </c>
      <c r="B28" s="19"/>
      <c r="C28" s="19"/>
    </row>
    <row r="29" spans="1:4" x14ac:dyDescent="0.35">
      <c r="A29" s="11">
        <v>2026</v>
      </c>
      <c r="B29" s="12">
        <v>0.36</v>
      </c>
      <c r="C29" t="s">
        <v>32</v>
      </c>
    </row>
    <row r="30" spans="1:4" x14ac:dyDescent="0.35">
      <c r="A30" s="11">
        <v>2027</v>
      </c>
      <c r="B30" s="12">
        <v>0.27</v>
      </c>
      <c r="C30" t="s">
        <v>33</v>
      </c>
    </row>
    <row r="31" spans="1:4" x14ac:dyDescent="0.35">
      <c r="A31" s="13">
        <v>2028</v>
      </c>
      <c r="B31" s="14">
        <v>0.38</v>
      </c>
      <c r="C31" s="7" t="s">
        <v>25</v>
      </c>
    </row>
    <row r="32" spans="1:4" x14ac:dyDescent="0.35">
      <c r="A32" s="11">
        <v>2029</v>
      </c>
      <c r="B32" s="12">
        <v>0.28999999999999998</v>
      </c>
      <c r="C32" t="s">
        <v>34</v>
      </c>
    </row>
    <row r="33" spans="1:3" x14ac:dyDescent="0.35">
      <c r="A33" s="11">
        <v>2030</v>
      </c>
      <c r="B33" s="12">
        <v>0.23</v>
      </c>
    </row>
    <row r="34" spans="1:3" x14ac:dyDescent="0.35">
      <c r="A34" s="11">
        <v>2031</v>
      </c>
      <c r="B34" s="12">
        <v>0.17</v>
      </c>
    </row>
    <row r="35" spans="1:3" x14ac:dyDescent="0.35">
      <c r="A35" s="18" t="s">
        <v>36</v>
      </c>
      <c r="B35" s="18"/>
      <c r="C35" s="18"/>
    </row>
    <row r="36" spans="1:3" x14ac:dyDescent="0.35">
      <c r="A36" s="15" t="s">
        <v>26</v>
      </c>
      <c r="B36" s="15" t="s">
        <v>27</v>
      </c>
      <c r="C36" s="15" t="s">
        <v>28</v>
      </c>
    </row>
    <row r="37" spans="1:3" x14ac:dyDescent="0.35">
      <c r="A37" s="13" t="s">
        <v>29</v>
      </c>
      <c r="B37" s="13" t="s">
        <v>30</v>
      </c>
      <c r="C37" s="13" t="s">
        <v>31</v>
      </c>
    </row>
    <row r="38" spans="1:3" x14ac:dyDescent="0.35">
      <c r="A38" s="11">
        <v>2025</v>
      </c>
      <c r="B38" s="11"/>
      <c r="C38" s="16">
        <f>B1</f>
        <v>3300000</v>
      </c>
    </row>
    <row r="39" spans="1:3" x14ac:dyDescent="0.35">
      <c r="A39" s="11">
        <v>2026</v>
      </c>
      <c r="B39" s="17">
        <v>0.35</v>
      </c>
      <c r="C39" s="6">
        <f t="shared" ref="C39:C44" si="0">C38*(1+B39)</f>
        <v>4455000</v>
      </c>
    </row>
    <row r="40" spans="1:3" x14ac:dyDescent="0.35">
      <c r="A40" s="11">
        <v>2027</v>
      </c>
      <c r="B40" s="17">
        <v>0.6</v>
      </c>
      <c r="C40" s="6">
        <f t="shared" si="0"/>
        <v>7128000</v>
      </c>
    </row>
    <row r="41" spans="1:3" x14ac:dyDescent="0.35">
      <c r="A41" s="11">
        <v>2028</v>
      </c>
      <c r="B41" s="17">
        <v>0.65</v>
      </c>
      <c r="C41" s="6">
        <f t="shared" si="0"/>
        <v>11761200</v>
      </c>
    </row>
    <row r="42" spans="1:3" x14ac:dyDescent="0.35">
      <c r="A42" s="11">
        <v>2029</v>
      </c>
      <c r="B42" s="17">
        <v>0.4</v>
      </c>
      <c r="C42" s="6">
        <f t="shared" si="0"/>
        <v>16465679.999999998</v>
      </c>
    </row>
    <row r="43" spans="1:3" x14ac:dyDescent="0.35">
      <c r="A43" s="11">
        <v>2030</v>
      </c>
      <c r="B43" s="17">
        <v>0.3</v>
      </c>
      <c r="C43" s="6">
        <f t="shared" si="0"/>
        <v>21405384</v>
      </c>
    </row>
    <row r="44" spans="1:3" x14ac:dyDescent="0.35">
      <c r="A44" s="11">
        <v>2031</v>
      </c>
      <c r="B44" s="17">
        <v>0.25</v>
      </c>
      <c r="C44" s="6">
        <f t="shared" si="0"/>
        <v>26756730</v>
      </c>
    </row>
  </sheetData>
  <mergeCells count="2">
    <mergeCell ref="A35:C35"/>
    <mergeCell ref="A28:C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Yatırım Modeli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magaza örnek</cp:lastModifiedBy>
  <dcterms:created xsi:type="dcterms:W3CDTF">2026-01-14T05:38:29Z</dcterms:created>
  <dcterms:modified xsi:type="dcterms:W3CDTF">2026-01-18T10:46:02Z</dcterms:modified>
</cp:coreProperties>
</file>